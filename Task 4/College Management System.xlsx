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mbers" sheetId="1" r:id="rId5"/>
    <sheet state="visible" name="Events" sheetId="2" r:id="rId6"/>
    <sheet state="visible" name="Registrations" sheetId="3" r:id="rId7"/>
    <sheet state="visible" name="Budget" sheetId="4" r:id="rId8"/>
    <sheet state="visible" name="Dashboard" sheetId="5" r:id="rId9"/>
    <sheet state="visible" name="Lists" sheetId="6" r:id="rId10"/>
  </sheets>
  <definedNames/>
  <calcPr/>
</workbook>
</file>

<file path=xl/sharedStrings.xml><?xml version="1.0" encoding="utf-8"?>
<sst xmlns="http://schemas.openxmlformats.org/spreadsheetml/2006/main" count="334" uniqueCount="189">
  <si>
    <t>Member_ID</t>
  </si>
  <si>
    <t>Name</t>
  </si>
  <si>
    <t>Year</t>
  </si>
  <si>
    <t>Branch</t>
  </si>
  <si>
    <t>Email</t>
  </si>
  <si>
    <t>Phone</t>
  </si>
  <si>
    <t xml:space="preserve">Chosen Subsystem </t>
  </si>
  <si>
    <t>Skills</t>
  </si>
  <si>
    <t>Interest</t>
  </si>
  <si>
    <t>Clubs Joined</t>
  </si>
  <si>
    <t>Vidya</t>
  </si>
  <si>
    <t>CSE</t>
  </si>
  <si>
    <t>vidyanayak2070@gmail.com</t>
  </si>
  <si>
    <t>Admin and Ops</t>
  </si>
  <si>
    <t>Frontend developmetn,ML</t>
  </si>
  <si>
    <t>ML</t>
  </si>
  <si>
    <t>IEEE EMBS</t>
  </si>
  <si>
    <t>Divya</t>
  </si>
  <si>
    <t>divya@gmail.com</t>
  </si>
  <si>
    <t>Backend</t>
  </si>
  <si>
    <t xml:space="preserve">ACM </t>
  </si>
  <si>
    <t>Rushil Jindal</t>
  </si>
  <si>
    <t>rushil@gmail.com</t>
  </si>
  <si>
    <t>ADCS</t>
  </si>
  <si>
    <t>API</t>
  </si>
  <si>
    <t>Management</t>
  </si>
  <si>
    <t>ACM</t>
  </si>
  <si>
    <t>Suvan</t>
  </si>
  <si>
    <t>suvaan@gmail.com</t>
  </si>
  <si>
    <t>Payload</t>
  </si>
  <si>
    <t>Machine Learning</t>
  </si>
  <si>
    <t>Managemrnt</t>
  </si>
  <si>
    <t>Aditya S</t>
  </si>
  <si>
    <t>adityasss@gmail.com</t>
  </si>
  <si>
    <t>System Engineer</t>
  </si>
  <si>
    <t>Artificial Intelligence</t>
  </si>
  <si>
    <t>AI</t>
  </si>
  <si>
    <t>MIST</t>
  </si>
  <si>
    <t>Artham Das</t>
  </si>
  <si>
    <t>artham@gmail.com</t>
  </si>
  <si>
    <t>Computer Networsk</t>
  </si>
  <si>
    <t>Singing</t>
  </si>
  <si>
    <t>Khushi Pal</t>
  </si>
  <si>
    <t>khushi@gmail.com</t>
  </si>
  <si>
    <t>CNN</t>
  </si>
  <si>
    <t>Photography</t>
  </si>
  <si>
    <t>Prism</t>
  </si>
  <si>
    <t>Rohit Reddy</t>
  </si>
  <si>
    <t>rohit@gmail.com</t>
  </si>
  <si>
    <t>Quantum Physics</t>
  </si>
  <si>
    <t>MOSS</t>
  </si>
  <si>
    <t>Manas Sai</t>
  </si>
  <si>
    <t>manas@gmail.com</t>
  </si>
  <si>
    <t>EPS</t>
  </si>
  <si>
    <t>Astronomy</t>
  </si>
  <si>
    <t>TDA</t>
  </si>
  <si>
    <t>Abhinav Chitti</t>
  </si>
  <si>
    <t>abhinav@gmail.com</t>
  </si>
  <si>
    <t>Communication and Ground</t>
  </si>
  <si>
    <t>Event Id</t>
  </si>
  <si>
    <t>Club</t>
  </si>
  <si>
    <t>Date</t>
  </si>
  <si>
    <t>Type</t>
  </si>
  <si>
    <t>Location</t>
  </si>
  <si>
    <t>Max Participants</t>
  </si>
  <si>
    <t>Budget</t>
  </si>
  <si>
    <t>Status</t>
  </si>
  <si>
    <t>Description</t>
  </si>
  <si>
    <t>Web Development Workshop</t>
  </si>
  <si>
    <t>Workshop</t>
  </si>
  <si>
    <t>AB3</t>
  </si>
  <si>
    <t>Open</t>
  </si>
  <si>
    <t>Learn HTML, CSS &amp; JavaScript</t>
  </si>
  <si>
    <t>AI Seminar</t>
  </si>
  <si>
    <t>Seminar</t>
  </si>
  <si>
    <t>AB5</t>
  </si>
  <si>
    <t>Introduction to Artificial Intelligence</t>
  </si>
  <si>
    <t>Hackathon</t>
  </si>
  <si>
    <t>19-07-2026</t>
  </si>
  <si>
    <t>Competition</t>
  </si>
  <si>
    <t>NLH</t>
  </si>
  <si>
    <t>Completed</t>
  </si>
  <si>
    <t>24-hour coding competition</t>
  </si>
  <si>
    <t>Robotics Workshop</t>
  </si>
  <si>
    <t>14-09-2026</t>
  </si>
  <si>
    <t>Library Auditorium</t>
  </si>
  <si>
    <t>Hands-on robotics session</t>
  </si>
  <si>
    <t>Startup Talk</t>
  </si>
  <si>
    <t>IEEE SBM</t>
  </si>
  <si>
    <t>17-09-2026</t>
  </si>
  <si>
    <t>Ted Talk</t>
  </si>
  <si>
    <t>MV Seminar Hall</t>
  </si>
  <si>
    <t>Entrepreneur guest lecture</t>
  </si>
  <si>
    <t>Coding Contest</t>
  </si>
  <si>
    <t>21-08-2026</t>
  </si>
  <si>
    <t xml:space="preserve">AB2 </t>
  </si>
  <si>
    <t>Competitive programming contest</t>
  </si>
  <si>
    <t>Registration_ID</t>
  </si>
  <si>
    <t>Event_ID</t>
  </si>
  <si>
    <t>Registration Date</t>
  </si>
  <si>
    <t>Attendance</t>
  </si>
  <si>
    <t>Participation Hours</t>
  </si>
  <si>
    <t>Feedback Score</t>
  </si>
  <si>
    <t>R001</t>
  </si>
  <si>
    <t>M001</t>
  </si>
  <si>
    <t>E001</t>
  </si>
  <si>
    <t>Confirmed</t>
  </si>
  <si>
    <t>Present</t>
  </si>
  <si>
    <t>R002</t>
  </si>
  <si>
    <t>M002</t>
  </si>
  <si>
    <t>R003</t>
  </si>
  <si>
    <t>M003</t>
  </si>
  <si>
    <t>E002</t>
  </si>
  <si>
    <t>R004</t>
  </si>
  <si>
    <t>M004</t>
  </si>
  <si>
    <t>R005</t>
  </si>
  <si>
    <t>M005</t>
  </si>
  <si>
    <t>E003</t>
  </si>
  <si>
    <t>R006</t>
  </si>
  <si>
    <t>M006</t>
  </si>
  <si>
    <t>E004</t>
  </si>
  <si>
    <t>R007</t>
  </si>
  <si>
    <t>M007</t>
  </si>
  <si>
    <t>E006</t>
  </si>
  <si>
    <t>R008</t>
  </si>
  <si>
    <t>M008</t>
  </si>
  <si>
    <t>Waitlist</t>
  </si>
  <si>
    <t>Absent</t>
  </si>
  <si>
    <t>R009</t>
  </si>
  <si>
    <t>M009</t>
  </si>
  <si>
    <t>E005</t>
  </si>
  <si>
    <t>R010</t>
  </si>
  <si>
    <t>M010</t>
  </si>
  <si>
    <t>13-08-2026</t>
  </si>
  <si>
    <t>R011</t>
  </si>
  <si>
    <t>14-08-2026</t>
  </si>
  <si>
    <t>R012</t>
  </si>
  <si>
    <t>15-08-2026</t>
  </si>
  <si>
    <t>R013</t>
  </si>
  <si>
    <t>16-08-2026</t>
  </si>
  <si>
    <t>R014</t>
  </si>
  <si>
    <t>17-08-2026</t>
  </si>
  <si>
    <t>R015</t>
  </si>
  <si>
    <t>18-08-2026</t>
  </si>
  <si>
    <t>R016</t>
  </si>
  <si>
    <t>19-08-2026</t>
  </si>
  <si>
    <t>R017</t>
  </si>
  <si>
    <t>20-08-2026</t>
  </si>
  <si>
    <t>R018</t>
  </si>
  <si>
    <t>R019</t>
  </si>
  <si>
    <t>22-08-2026</t>
  </si>
  <si>
    <t>R020</t>
  </si>
  <si>
    <t>23-08-2026</t>
  </si>
  <si>
    <t>Expense_ID</t>
  </si>
  <si>
    <t>Category</t>
  </si>
  <si>
    <t>Amount</t>
  </si>
  <si>
    <t>Approved</t>
  </si>
  <si>
    <t>B001</t>
  </si>
  <si>
    <t>Food</t>
  </si>
  <si>
    <t>Yes</t>
  </si>
  <si>
    <t>B002</t>
  </si>
  <si>
    <t>Marketing</t>
  </si>
  <si>
    <t>B003</t>
  </si>
  <si>
    <t>Refreshments</t>
  </si>
  <si>
    <t>B004</t>
  </si>
  <si>
    <t>Prizes</t>
  </si>
  <si>
    <t>B005</t>
  </si>
  <si>
    <t>B006</t>
  </si>
  <si>
    <t>Equipment</t>
  </si>
  <si>
    <t>B007</t>
  </si>
  <si>
    <t>B008</t>
  </si>
  <si>
    <t>Speaker Fee</t>
  </si>
  <si>
    <t>B009</t>
  </si>
  <si>
    <t>B010</t>
  </si>
  <si>
    <t>A</t>
  </si>
  <si>
    <t>B</t>
  </si>
  <si>
    <t>Event</t>
  </si>
  <si>
    <t>Registrations</t>
  </si>
  <si>
    <t>Total Members</t>
  </si>
  <si>
    <t>Total Events</t>
  </si>
  <si>
    <t>Total Registrations</t>
  </si>
  <si>
    <t>Total Budget Allocated</t>
  </si>
  <si>
    <t>Total Budget Spent</t>
  </si>
  <si>
    <t>Average Feedback</t>
  </si>
  <si>
    <t>Total Participation Hours</t>
  </si>
  <si>
    <t>No</t>
  </si>
  <si>
    <t>Cancelled</t>
  </si>
  <si>
    <t>Late</t>
  </si>
  <si>
    <t>Meeting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</si>
</sst>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3">
    <dxf>
      <font>
        <color theme="7"/>
      </font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theme="7"/>
          <bgColor theme="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5.25"/>
    <col customWidth="1" min="7" max="7" width="22.0"/>
    <col customWidth="1" min="8" max="8" width="23.0"/>
    <col customWidth="1" min="9" max="9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101.0</v>
      </c>
      <c r="B2" s="1" t="s">
        <v>10</v>
      </c>
      <c r="C2" s="1">
        <v>2025.0</v>
      </c>
      <c r="D2" s="1" t="s">
        <v>11</v>
      </c>
      <c r="E2" s="1" t="s">
        <v>12</v>
      </c>
      <c r="F2" s="1">
        <v>8.105649068E9</v>
      </c>
      <c r="G2" s="1" t="s">
        <v>13</v>
      </c>
      <c r="H2" s="1" t="s">
        <v>14</v>
      </c>
      <c r="I2" s="1" t="s">
        <v>15</v>
      </c>
      <c r="J2" s="1" t="s">
        <v>16</v>
      </c>
    </row>
    <row r="3">
      <c r="A3" s="1">
        <v>102.0</v>
      </c>
      <c r="B3" s="1" t="s">
        <v>17</v>
      </c>
      <c r="C3" s="1">
        <v>2025.0</v>
      </c>
      <c r="D3" s="1" t="s">
        <v>11</v>
      </c>
      <c r="E3" s="1" t="s">
        <v>18</v>
      </c>
      <c r="F3" s="1">
        <v>8.430022094E9</v>
      </c>
      <c r="G3" s="1" t="s">
        <v>13</v>
      </c>
      <c r="H3" s="1" t="s">
        <v>19</v>
      </c>
      <c r="I3" s="1" t="s">
        <v>15</v>
      </c>
      <c r="J3" s="1" t="s">
        <v>20</v>
      </c>
    </row>
    <row r="4">
      <c r="A4" s="1">
        <v>103.0</v>
      </c>
      <c r="B4" s="1" t="s">
        <v>21</v>
      </c>
      <c r="C4" s="1">
        <v>2025.0</v>
      </c>
      <c r="D4" s="1" t="s">
        <v>11</v>
      </c>
      <c r="E4" s="1" t="s">
        <v>22</v>
      </c>
      <c r="F4" s="1">
        <v>8.244535333E9</v>
      </c>
      <c r="G4" s="1" t="s">
        <v>23</v>
      </c>
      <c r="H4" s="1" t="s">
        <v>24</v>
      </c>
      <c r="I4" s="1" t="s">
        <v>25</v>
      </c>
      <c r="J4" s="1" t="s">
        <v>26</v>
      </c>
    </row>
    <row r="5">
      <c r="A5" s="1">
        <v>104.0</v>
      </c>
      <c r="B5" s="1" t="s">
        <v>27</v>
      </c>
      <c r="C5" s="1">
        <v>2025.0</v>
      </c>
      <c r="D5" s="1" t="s">
        <v>11</v>
      </c>
      <c r="E5" s="1" t="s">
        <v>28</v>
      </c>
      <c r="F5" s="1">
        <v>8.907364524E9</v>
      </c>
      <c r="G5" s="1" t="s">
        <v>29</v>
      </c>
      <c r="H5" s="1" t="s">
        <v>30</v>
      </c>
      <c r="I5" s="1" t="s">
        <v>31</v>
      </c>
      <c r="J5" s="1" t="s">
        <v>16</v>
      </c>
    </row>
    <row r="6">
      <c r="A6" s="1">
        <v>105.0</v>
      </c>
      <c r="B6" s="1" t="s">
        <v>32</v>
      </c>
      <c r="C6" s="1">
        <v>2025.0</v>
      </c>
      <c r="D6" s="1" t="s">
        <v>11</v>
      </c>
      <c r="E6" s="1" t="s">
        <v>33</v>
      </c>
      <c r="F6" s="1">
        <v>8.904657283E9</v>
      </c>
      <c r="G6" s="1" t="s">
        <v>34</v>
      </c>
      <c r="H6" s="1" t="s">
        <v>35</v>
      </c>
      <c r="I6" s="1" t="s">
        <v>36</v>
      </c>
      <c r="J6" s="1" t="s">
        <v>37</v>
      </c>
    </row>
    <row r="7">
      <c r="A7" s="1">
        <v>106.0</v>
      </c>
      <c r="B7" s="1" t="s">
        <v>38</v>
      </c>
      <c r="C7" s="1">
        <v>2025.0</v>
      </c>
      <c r="D7" s="1" t="s">
        <v>11</v>
      </c>
      <c r="E7" s="1" t="s">
        <v>39</v>
      </c>
      <c r="F7" s="1">
        <v>9.903758643E9</v>
      </c>
      <c r="G7" s="1" t="s">
        <v>29</v>
      </c>
      <c r="H7" s="1" t="s">
        <v>40</v>
      </c>
      <c r="I7" s="1" t="s">
        <v>41</v>
      </c>
      <c r="J7" s="1" t="s">
        <v>37</v>
      </c>
    </row>
    <row r="8">
      <c r="A8" s="1">
        <v>107.0</v>
      </c>
      <c r="B8" s="1" t="s">
        <v>42</v>
      </c>
      <c r="C8" s="1">
        <v>2025.0</v>
      </c>
      <c r="D8" s="1" t="s">
        <v>11</v>
      </c>
      <c r="E8" s="1" t="s">
        <v>43</v>
      </c>
      <c r="F8" s="1">
        <v>9.743285607E9</v>
      </c>
      <c r="G8" s="1" t="s">
        <v>29</v>
      </c>
      <c r="H8" s="1" t="s">
        <v>44</v>
      </c>
      <c r="I8" s="1" t="s">
        <v>45</v>
      </c>
      <c r="J8" s="1" t="s">
        <v>46</v>
      </c>
    </row>
    <row r="9">
      <c r="A9" s="1">
        <v>108.0</v>
      </c>
      <c r="B9" s="1" t="s">
        <v>47</v>
      </c>
      <c r="C9" s="1">
        <v>2025.0</v>
      </c>
      <c r="D9" s="1" t="s">
        <v>11</v>
      </c>
      <c r="E9" s="1" t="s">
        <v>48</v>
      </c>
      <c r="F9" s="1">
        <v>7.894030294E9</v>
      </c>
      <c r="G9" s="1" t="s">
        <v>23</v>
      </c>
      <c r="H9" s="1" t="s">
        <v>44</v>
      </c>
      <c r="I9" s="1" t="s">
        <v>49</v>
      </c>
      <c r="J9" s="1" t="s">
        <v>50</v>
      </c>
    </row>
    <row r="10">
      <c r="A10" s="1">
        <v>109.0</v>
      </c>
      <c r="B10" s="1" t="s">
        <v>51</v>
      </c>
      <c r="C10" s="1">
        <v>2025.0</v>
      </c>
      <c r="D10" s="1" t="s">
        <v>11</v>
      </c>
      <c r="E10" s="1" t="s">
        <v>52</v>
      </c>
      <c r="F10" s="1">
        <v>7.865439203E9</v>
      </c>
      <c r="G10" s="1" t="s">
        <v>53</v>
      </c>
      <c r="H10" s="1" t="s">
        <v>15</v>
      </c>
      <c r="I10" s="1" t="s">
        <v>54</v>
      </c>
      <c r="J10" s="1" t="s">
        <v>55</v>
      </c>
    </row>
    <row r="11">
      <c r="A11" s="1">
        <v>110.0</v>
      </c>
      <c r="B11" s="1" t="s">
        <v>56</v>
      </c>
      <c r="C11" s="1">
        <v>2025.0</v>
      </c>
      <c r="D11" s="1" t="s">
        <v>11</v>
      </c>
      <c r="E11" s="1" t="s">
        <v>57</v>
      </c>
      <c r="F11" s="1">
        <v>9.9504399E9</v>
      </c>
      <c r="G11" s="1" t="s">
        <v>58</v>
      </c>
      <c r="H11" s="1" t="s">
        <v>36</v>
      </c>
      <c r="I11" s="1" t="s">
        <v>54</v>
      </c>
      <c r="J11" s="1" t="s">
        <v>55</v>
      </c>
    </row>
    <row r="17">
      <c r="G17" s="2"/>
    </row>
  </sheetData>
  <dataValidations>
    <dataValidation type="list" allowBlank="1" showErrorMessage="1" sqref="G17">
      <formula1>"Option 1,Option 2"</formula1>
    </dataValidation>
    <dataValidation type="list" allowBlank="1" showErrorMessage="1" sqref="G1:G11">
      <formula1>"ADCS,Admin and Ops,Chosen Subsystem ,Communication and Ground,EPS,Payload,System Engineer"</formula1>
    </dataValidation>
    <dataValidation type="list" allowBlank="1" showErrorMessage="1" sqref="J1:J11">
      <formula1>"ACM,ACM ,Clubs Joined,IEEE EMBS,MIST,MOSS,Prism,TDA"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5" max="5" width="15.5"/>
    <col customWidth="1" min="6" max="6" width="17.25"/>
    <col customWidth="1" min="9" max="9" width="26.5"/>
  </cols>
  <sheetData>
    <row r="1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3" t="s">
        <v>66</v>
      </c>
      <c r="I1" s="1" t="s">
        <v>67</v>
      </c>
    </row>
    <row r="2">
      <c r="A2" s="1" t="s">
        <v>68</v>
      </c>
      <c r="B2" s="1" t="s">
        <v>26</v>
      </c>
      <c r="C2" s="4">
        <v>46150.0</v>
      </c>
      <c r="D2" s="1" t="s">
        <v>69</v>
      </c>
      <c r="E2" s="1" t="s">
        <v>70</v>
      </c>
      <c r="F2" s="1">
        <v>30.0</v>
      </c>
      <c r="G2" s="1">
        <v>20000.0</v>
      </c>
      <c r="H2" s="3" t="s">
        <v>71</v>
      </c>
      <c r="I2" s="1" t="s">
        <v>72</v>
      </c>
    </row>
    <row r="3">
      <c r="A3" s="1" t="s">
        <v>73</v>
      </c>
      <c r="B3" s="1" t="s">
        <v>46</v>
      </c>
      <c r="C3" s="4">
        <v>46180.0</v>
      </c>
      <c r="D3" s="1" t="s">
        <v>74</v>
      </c>
      <c r="E3" s="1" t="s">
        <v>75</v>
      </c>
      <c r="F3" s="1">
        <v>50.0</v>
      </c>
      <c r="G3" s="1">
        <v>15000.0</v>
      </c>
      <c r="H3" s="5" t="s">
        <v>71</v>
      </c>
      <c r="I3" s="1" t="s">
        <v>76</v>
      </c>
    </row>
    <row r="4">
      <c r="A4" s="1" t="s">
        <v>77</v>
      </c>
      <c r="B4" s="1" t="s">
        <v>50</v>
      </c>
      <c r="C4" s="1" t="s">
        <v>78</v>
      </c>
      <c r="D4" s="1" t="s">
        <v>79</v>
      </c>
      <c r="E4" s="1" t="s">
        <v>80</v>
      </c>
      <c r="F4" s="1">
        <v>15.0</v>
      </c>
      <c r="G4" s="1">
        <v>25000.0</v>
      </c>
      <c r="H4" s="1" t="s">
        <v>81</v>
      </c>
      <c r="I4" s="1" t="s">
        <v>82</v>
      </c>
    </row>
    <row r="5">
      <c r="A5" s="1" t="s">
        <v>83</v>
      </c>
      <c r="B5" s="1" t="s">
        <v>37</v>
      </c>
      <c r="C5" s="1" t="s">
        <v>84</v>
      </c>
      <c r="D5" s="1" t="s">
        <v>69</v>
      </c>
      <c r="E5" s="1" t="s">
        <v>85</v>
      </c>
      <c r="F5" s="1">
        <v>100.0</v>
      </c>
      <c r="G5" s="1">
        <v>40000.0</v>
      </c>
      <c r="H5" s="1" t="s">
        <v>81</v>
      </c>
      <c r="I5" s="1" t="s">
        <v>86</v>
      </c>
    </row>
    <row r="6">
      <c r="A6" s="1" t="s">
        <v>87</v>
      </c>
      <c r="B6" s="1" t="s">
        <v>88</v>
      </c>
      <c r="C6" s="1" t="s">
        <v>89</v>
      </c>
      <c r="D6" s="1" t="s">
        <v>90</v>
      </c>
      <c r="E6" s="1" t="s">
        <v>91</v>
      </c>
      <c r="F6" s="1">
        <v>200.0</v>
      </c>
      <c r="G6" s="1">
        <v>23000.0</v>
      </c>
      <c r="H6" s="1" t="s">
        <v>71</v>
      </c>
      <c r="I6" s="1" t="s">
        <v>92</v>
      </c>
    </row>
    <row r="7">
      <c r="A7" s="1" t="s">
        <v>93</v>
      </c>
      <c r="B7" s="1" t="s">
        <v>16</v>
      </c>
      <c r="C7" s="1" t="s">
        <v>94</v>
      </c>
      <c r="D7" s="1" t="s">
        <v>79</v>
      </c>
      <c r="E7" s="1" t="s">
        <v>95</v>
      </c>
      <c r="F7" s="1">
        <v>20.0</v>
      </c>
      <c r="G7" s="1">
        <v>21000.0</v>
      </c>
      <c r="H7" s="1" t="s">
        <v>81</v>
      </c>
      <c r="I7" s="1" t="s">
        <v>96</v>
      </c>
    </row>
  </sheetData>
  <dataValidations>
    <dataValidation type="list" allowBlank="1" showErrorMessage="1" sqref="D1:D7">
      <formula1>"Competition,Seminar,Ted Talk,Type,Workshop"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97</v>
      </c>
      <c r="B1" s="1" t="s">
        <v>0</v>
      </c>
      <c r="C1" s="1" t="s">
        <v>98</v>
      </c>
      <c r="D1" s="1" t="s">
        <v>99</v>
      </c>
      <c r="E1" s="1" t="s">
        <v>66</v>
      </c>
      <c r="F1" s="1" t="s">
        <v>100</v>
      </c>
      <c r="G1" s="1" t="s">
        <v>101</v>
      </c>
      <c r="H1" s="1" t="s">
        <v>102</v>
      </c>
    </row>
    <row r="2">
      <c r="A2" s="1" t="s">
        <v>103</v>
      </c>
      <c r="B2" s="1" t="s">
        <v>104</v>
      </c>
      <c r="C2" s="1" t="s">
        <v>105</v>
      </c>
      <c r="D2" s="4">
        <v>46030.0</v>
      </c>
      <c r="E2" s="1" t="s">
        <v>106</v>
      </c>
      <c r="F2" s="1" t="s">
        <v>107</v>
      </c>
      <c r="G2" s="1">
        <v>8.0</v>
      </c>
      <c r="H2" s="1">
        <v>5.0</v>
      </c>
    </row>
    <row r="3">
      <c r="A3" s="1" t="s">
        <v>108</v>
      </c>
      <c r="B3" s="1" t="s">
        <v>109</v>
      </c>
      <c r="C3" s="1" t="s">
        <v>105</v>
      </c>
      <c r="D3" s="4">
        <v>46030.0</v>
      </c>
      <c r="E3" s="1" t="s">
        <v>106</v>
      </c>
      <c r="F3" s="1" t="s">
        <v>107</v>
      </c>
      <c r="G3" s="1">
        <v>8.0</v>
      </c>
      <c r="H3" s="1">
        <v>4.0</v>
      </c>
    </row>
    <row r="4">
      <c r="A4" s="1" t="s">
        <v>110</v>
      </c>
      <c r="B4" s="1" t="s">
        <v>111</v>
      </c>
      <c r="C4" s="1" t="s">
        <v>112</v>
      </c>
      <c r="D4" s="4">
        <v>46089.0</v>
      </c>
      <c r="E4" s="1" t="s">
        <v>106</v>
      </c>
      <c r="F4" s="1" t="s">
        <v>107</v>
      </c>
      <c r="G4" s="1">
        <v>3.0</v>
      </c>
      <c r="H4" s="1">
        <v>5.0</v>
      </c>
    </row>
    <row r="5">
      <c r="A5" s="1" t="s">
        <v>113</v>
      </c>
      <c r="B5" s="1" t="s">
        <v>114</v>
      </c>
      <c r="C5" s="1" t="s">
        <v>105</v>
      </c>
      <c r="D5" s="4">
        <v>46120.0</v>
      </c>
      <c r="E5" s="1" t="s">
        <v>106</v>
      </c>
      <c r="F5" s="1" t="s">
        <v>107</v>
      </c>
      <c r="G5" s="1">
        <v>8.0</v>
      </c>
      <c r="H5" s="1">
        <v>5.0</v>
      </c>
    </row>
    <row r="6">
      <c r="A6" s="1" t="s">
        <v>115</v>
      </c>
      <c r="B6" s="1" t="s">
        <v>116</v>
      </c>
      <c r="C6" s="1" t="s">
        <v>117</v>
      </c>
      <c r="D6" s="4">
        <v>46181.0</v>
      </c>
      <c r="E6" s="1" t="s">
        <v>106</v>
      </c>
      <c r="F6" s="1" t="s">
        <v>107</v>
      </c>
      <c r="G6" s="1">
        <v>24.0</v>
      </c>
      <c r="H6" s="1">
        <v>5.0</v>
      </c>
    </row>
    <row r="7">
      <c r="A7" s="1" t="s">
        <v>118</v>
      </c>
      <c r="B7" s="1" t="s">
        <v>119</v>
      </c>
      <c r="C7" s="1" t="s">
        <v>120</v>
      </c>
      <c r="D7" s="4">
        <v>46242.0</v>
      </c>
      <c r="E7" s="1" t="s">
        <v>106</v>
      </c>
      <c r="F7" s="1" t="s">
        <v>107</v>
      </c>
      <c r="G7" s="1">
        <v>6.0</v>
      </c>
      <c r="H7" s="1">
        <v>4.0</v>
      </c>
    </row>
    <row r="8">
      <c r="A8" s="1" t="s">
        <v>121</v>
      </c>
      <c r="B8" s="1" t="s">
        <v>122</v>
      </c>
      <c r="C8" s="1" t="s">
        <v>123</v>
      </c>
      <c r="D8" s="4">
        <v>46273.0</v>
      </c>
      <c r="E8" s="1" t="s">
        <v>106</v>
      </c>
      <c r="F8" s="1" t="s">
        <v>107</v>
      </c>
      <c r="G8" s="1">
        <v>4.0</v>
      </c>
      <c r="H8" s="1">
        <v>5.0</v>
      </c>
    </row>
    <row r="9">
      <c r="A9" s="1" t="s">
        <v>124</v>
      </c>
      <c r="B9" s="1" t="s">
        <v>125</v>
      </c>
      <c r="C9" s="1" t="s">
        <v>117</v>
      </c>
      <c r="D9" s="4">
        <v>46303.0</v>
      </c>
      <c r="E9" s="1" t="s">
        <v>126</v>
      </c>
      <c r="F9" s="1" t="s">
        <v>127</v>
      </c>
      <c r="G9" s="1">
        <v>0.0</v>
      </c>
      <c r="H9" s="1">
        <v>0.0</v>
      </c>
    </row>
    <row r="10">
      <c r="A10" s="1" t="s">
        <v>128</v>
      </c>
      <c r="B10" s="1" t="s">
        <v>129</v>
      </c>
      <c r="C10" s="1" t="s">
        <v>130</v>
      </c>
      <c r="D10" s="4">
        <v>46364.0</v>
      </c>
      <c r="E10" s="1" t="s">
        <v>106</v>
      </c>
      <c r="F10" s="1" t="s">
        <v>107</v>
      </c>
      <c r="G10" s="1">
        <v>2.0</v>
      </c>
      <c r="H10" s="1">
        <v>4.0</v>
      </c>
    </row>
    <row r="11">
      <c r="A11" s="1" t="s">
        <v>131</v>
      </c>
      <c r="B11" s="1" t="s">
        <v>132</v>
      </c>
      <c r="C11" s="1" t="s">
        <v>112</v>
      </c>
      <c r="D11" s="1" t="s">
        <v>133</v>
      </c>
      <c r="E11" s="1" t="s">
        <v>106</v>
      </c>
      <c r="F11" s="1" t="s">
        <v>107</v>
      </c>
      <c r="G11" s="1">
        <v>3.0</v>
      </c>
      <c r="H11" s="1">
        <v>5.0</v>
      </c>
    </row>
    <row r="12">
      <c r="A12" s="1" t="s">
        <v>134</v>
      </c>
      <c r="B12" s="1" t="s">
        <v>104</v>
      </c>
      <c r="C12" s="1" t="s">
        <v>117</v>
      </c>
      <c r="D12" s="1" t="s">
        <v>135</v>
      </c>
      <c r="E12" s="1" t="s">
        <v>106</v>
      </c>
      <c r="F12" s="1" t="s">
        <v>107</v>
      </c>
      <c r="G12" s="1">
        <v>24.0</v>
      </c>
      <c r="H12" s="1">
        <v>5.0</v>
      </c>
    </row>
    <row r="13">
      <c r="A13" s="1" t="s">
        <v>136</v>
      </c>
      <c r="B13" s="1" t="s">
        <v>109</v>
      </c>
      <c r="C13" s="1" t="s">
        <v>123</v>
      </c>
      <c r="D13" s="1" t="s">
        <v>137</v>
      </c>
      <c r="E13" s="1" t="s">
        <v>106</v>
      </c>
      <c r="F13" s="1" t="s">
        <v>107</v>
      </c>
      <c r="G13" s="1">
        <v>4.0</v>
      </c>
      <c r="H13" s="1">
        <v>4.0</v>
      </c>
    </row>
    <row r="14">
      <c r="A14" s="1" t="s">
        <v>138</v>
      </c>
      <c r="B14" s="1" t="s">
        <v>111</v>
      </c>
      <c r="C14" s="1" t="s">
        <v>130</v>
      </c>
      <c r="D14" s="1" t="s">
        <v>139</v>
      </c>
      <c r="E14" s="1" t="s">
        <v>106</v>
      </c>
      <c r="F14" s="1" t="s">
        <v>107</v>
      </c>
      <c r="G14" s="1">
        <v>2.0</v>
      </c>
      <c r="H14" s="1">
        <v>5.0</v>
      </c>
    </row>
    <row r="15">
      <c r="A15" s="1" t="s">
        <v>140</v>
      </c>
      <c r="B15" s="1" t="s">
        <v>114</v>
      </c>
      <c r="C15" s="1" t="s">
        <v>120</v>
      </c>
      <c r="D15" s="1" t="s">
        <v>141</v>
      </c>
      <c r="E15" s="1" t="s">
        <v>106</v>
      </c>
      <c r="F15" s="1" t="s">
        <v>107</v>
      </c>
      <c r="G15" s="1">
        <v>6.0</v>
      </c>
      <c r="H15" s="1">
        <v>4.0</v>
      </c>
    </row>
    <row r="16">
      <c r="A16" s="1" t="s">
        <v>142</v>
      </c>
      <c r="B16" s="1" t="s">
        <v>119</v>
      </c>
      <c r="C16" s="1" t="s">
        <v>105</v>
      </c>
      <c r="D16" s="1" t="s">
        <v>143</v>
      </c>
      <c r="E16" s="1" t="s">
        <v>106</v>
      </c>
      <c r="F16" s="1" t="s">
        <v>107</v>
      </c>
      <c r="G16" s="1">
        <v>8.0</v>
      </c>
      <c r="H16" s="1">
        <v>5.0</v>
      </c>
    </row>
    <row r="17">
      <c r="A17" s="1" t="s">
        <v>144</v>
      </c>
      <c r="B17" s="1" t="s">
        <v>122</v>
      </c>
      <c r="C17" s="1" t="s">
        <v>117</v>
      </c>
      <c r="D17" s="1" t="s">
        <v>145</v>
      </c>
      <c r="E17" s="1" t="s">
        <v>106</v>
      </c>
      <c r="F17" s="1" t="s">
        <v>107</v>
      </c>
      <c r="G17" s="1">
        <v>24.0</v>
      </c>
      <c r="H17" s="1">
        <v>5.0</v>
      </c>
    </row>
    <row r="18">
      <c r="A18" s="1" t="s">
        <v>146</v>
      </c>
      <c r="B18" s="1" t="s">
        <v>125</v>
      </c>
      <c r="C18" s="1" t="s">
        <v>112</v>
      </c>
      <c r="D18" s="1" t="s">
        <v>147</v>
      </c>
      <c r="E18" s="1" t="s">
        <v>106</v>
      </c>
      <c r="F18" s="1" t="s">
        <v>107</v>
      </c>
      <c r="G18" s="1">
        <v>3.0</v>
      </c>
      <c r="H18" s="1">
        <v>4.0</v>
      </c>
    </row>
    <row r="19">
      <c r="A19" s="1" t="s">
        <v>148</v>
      </c>
      <c r="B19" s="1" t="s">
        <v>129</v>
      </c>
      <c r="C19" s="1" t="s">
        <v>123</v>
      </c>
      <c r="D19" s="1" t="s">
        <v>94</v>
      </c>
      <c r="E19" s="1" t="s">
        <v>106</v>
      </c>
      <c r="F19" s="1" t="s">
        <v>107</v>
      </c>
      <c r="G19" s="1">
        <v>4.0</v>
      </c>
      <c r="H19" s="1">
        <v>5.0</v>
      </c>
    </row>
    <row r="20">
      <c r="A20" s="1" t="s">
        <v>149</v>
      </c>
      <c r="B20" s="1" t="s">
        <v>132</v>
      </c>
      <c r="C20" s="1" t="s">
        <v>120</v>
      </c>
      <c r="D20" s="1" t="s">
        <v>150</v>
      </c>
      <c r="E20" s="1" t="s">
        <v>106</v>
      </c>
      <c r="F20" s="1" t="s">
        <v>107</v>
      </c>
      <c r="G20" s="1">
        <v>6.0</v>
      </c>
      <c r="H20" s="1">
        <v>5.0</v>
      </c>
    </row>
    <row r="21">
      <c r="A21" s="1" t="s">
        <v>151</v>
      </c>
      <c r="B21" s="1" t="s">
        <v>116</v>
      </c>
      <c r="C21" s="1" t="s">
        <v>130</v>
      </c>
      <c r="D21" s="1" t="s">
        <v>152</v>
      </c>
      <c r="E21" s="1" t="s">
        <v>106</v>
      </c>
      <c r="F21" s="1" t="s">
        <v>107</v>
      </c>
      <c r="G21" s="1">
        <v>2.0</v>
      </c>
      <c r="H21" s="1">
        <v>4.0</v>
      </c>
    </row>
  </sheetData>
  <conditionalFormatting sqref="H1:H21">
    <cfRule type="cellIs" dxfId="0" priority="1" operator="greaterThanOrEqual">
      <formula>4.5</formula>
    </cfRule>
  </conditionalFormatting>
  <conditionalFormatting sqref="E1:E21">
    <cfRule type="cellIs" dxfId="1" priority="2" operator="equal">
      <formula>"Waitlist"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153</v>
      </c>
      <c r="B1" s="1" t="s">
        <v>98</v>
      </c>
      <c r="C1" s="1" t="s">
        <v>154</v>
      </c>
      <c r="D1" s="1" t="s">
        <v>155</v>
      </c>
      <c r="E1" s="1" t="s">
        <v>156</v>
      </c>
    </row>
    <row r="2">
      <c r="A2" s="1" t="s">
        <v>157</v>
      </c>
      <c r="B2" s="1" t="s">
        <v>105</v>
      </c>
      <c r="C2" s="1" t="s">
        <v>158</v>
      </c>
      <c r="D2" s="1">
        <v>12000.0</v>
      </c>
      <c r="E2" s="1" t="s">
        <v>159</v>
      </c>
    </row>
    <row r="3">
      <c r="A3" s="1" t="s">
        <v>160</v>
      </c>
      <c r="B3" s="1" t="s">
        <v>105</v>
      </c>
      <c r="C3" s="1" t="s">
        <v>161</v>
      </c>
      <c r="D3" s="1">
        <v>3000.0</v>
      </c>
      <c r="E3" s="1" t="s">
        <v>159</v>
      </c>
    </row>
    <row r="4">
      <c r="A4" s="1" t="s">
        <v>162</v>
      </c>
      <c r="B4" s="1" t="s">
        <v>112</v>
      </c>
      <c r="C4" s="1" t="s">
        <v>163</v>
      </c>
      <c r="D4" s="1">
        <v>5000.0</v>
      </c>
      <c r="E4" s="1" t="s">
        <v>159</v>
      </c>
    </row>
    <row r="5">
      <c r="A5" s="1" t="s">
        <v>164</v>
      </c>
      <c r="B5" s="1" t="s">
        <v>117</v>
      </c>
      <c r="C5" s="1" t="s">
        <v>165</v>
      </c>
      <c r="D5" s="1">
        <v>30000.0</v>
      </c>
      <c r="E5" s="1" t="s">
        <v>159</v>
      </c>
    </row>
    <row r="6">
      <c r="A6" s="1" t="s">
        <v>166</v>
      </c>
      <c r="B6" s="1" t="s">
        <v>117</v>
      </c>
      <c r="C6" s="1" t="s">
        <v>158</v>
      </c>
      <c r="D6" s="1">
        <v>15000.0</v>
      </c>
      <c r="E6" s="1" t="s">
        <v>159</v>
      </c>
    </row>
    <row r="7">
      <c r="A7" s="1" t="s">
        <v>167</v>
      </c>
      <c r="B7" s="1" t="s">
        <v>120</v>
      </c>
      <c r="C7" s="1" t="s">
        <v>168</v>
      </c>
      <c r="D7" s="1">
        <v>22000.0</v>
      </c>
      <c r="E7" s="1" t="s">
        <v>159</v>
      </c>
    </row>
    <row r="8">
      <c r="A8" s="1" t="s">
        <v>169</v>
      </c>
      <c r="B8" s="1" t="s">
        <v>120</v>
      </c>
      <c r="C8" s="1" t="s">
        <v>161</v>
      </c>
      <c r="D8" s="1">
        <v>2500.0</v>
      </c>
      <c r="E8" s="1" t="s">
        <v>159</v>
      </c>
    </row>
    <row r="9">
      <c r="A9" s="1" t="s">
        <v>170</v>
      </c>
      <c r="B9" s="1" t="s">
        <v>130</v>
      </c>
      <c r="C9" s="1" t="s">
        <v>171</v>
      </c>
      <c r="D9" s="1">
        <v>8000.0</v>
      </c>
      <c r="E9" s="1" t="s">
        <v>159</v>
      </c>
    </row>
    <row r="10">
      <c r="A10" s="1" t="s">
        <v>172</v>
      </c>
      <c r="B10" s="1" t="s">
        <v>130</v>
      </c>
      <c r="C10" s="1" t="s">
        <v>163</v>
      </c>
      <c r="D10" s="1">
        <v>1500.0</v>
      </c>
      <c r="E10" s="1" t="s">
        <v>159</v>
      </c>
    </row>
    <row r="11">
      <c r="A11" s="1" t="s">
        <v>173</v>
      </c>
      <c r="B11" s="1" t="s">
        <v>123</v>
      </c>
      <c r="C11" s="1" t="s">
        <v>165</v>
      </c>
      <c r="D11" s="1">
        <v>10000.0</v>
      </c>
      <c r="E11" s="1" t="s">
        <v>159</v>
      </c>
    </row>
  </sheetData>
  <conditionalFormatting sqref="E1:E11">
    <cfRule type="cellIs" dxfId="2" priority="1" operator="equal">
      <formula>"Yes"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</cols>
  <sheetData>
    <row r="1">
      <c r="A1" s="6" t="s">
        <v>174</v>
      </c>
      <c r="B1" s="6" t="s">
        <v>175</v>
      </c>
      <c r="E1" s="3" t="s">
        <v>176</v>
      </c>
      <c r="F1" s="3" t="s">
        <v>177</v>
      </c>
    </row>
    <row r="2">
      <c r="A2" s="1" t="s">
        <v>178</v>
      </c>
      <c r="B2" s="2">
        <f>COUNTA(Members!A2:A1000)</f>
        <v>10</v>
      </c>
      <c r="E2" s="1" t="s">
        <v>105</v>
      </c>
      <c r="F2" s="2">
        <f>COUNTIF(Registrations!C:C,"E001")</f>
        <v>4</v>
      </c>
    </row>
    <row r="3">
      <c r="A3" s="1" t="s">
        <v>179</v>
      </c>
      <c r="B3" s="2">
        <f>COUNTA(Events!A2:A1000)</f>
        <v>6</v>
      </c>
      <c r="E3" s="1" t="s">
        <v>112</v>
      </c>
      <c r="F3" s="2">
        <f>COUNTIF(Registrations!C:C,"E002")</f>
        <v>3</v>
      </c>
    </row>
    <row r="4">
      <c r="A4" s="1" t="s">
        <v>180</v>
      </c>
      <c r="B4" s="2">
        <f>COUNTA(Registrations!A2:A1000)</f>
        <v>20</v>
      </c>
      <c r="E4" s="1" t="s">
        <v>117</v>
      </c>
      <c r="F4" s="2">
        <f>COUNTIF(Registrations!C:C,"E003")</f>
        <v>4</v>
      </c>
    </row>
    <row r="5">
      <c r="A5" s="1" t="s">
        <v>181</v>
      </c>
      <c r="B5" s="2">
        <f>SUM(Events!H2:H1000)</f>
        <v>0</v>
      </c>
      <c r="E5" s="1" t="s">
        <v>120</v>
      </c>
      <c r="F5" s="2">
        <f>COUNTIF(Registrations!C:C,"E004")</f>
        <v>3</v>
      </c>
    </row>
    <row r="6">
      <c r="A6" s="1" t="s">
        <v>182</v>
      </c>
      <c r="B6" s="2">
        <f>SUM(Budget!D2:D1000)</f>
        <v>109000</v>
      </c>
      <c r="E6" s="1" t="s">
        <v>130</v>
      </c>
      <c r="F6" s="2">
        <f>COUNTIF(Registrations!C:C,"E005")</f>
        <v>3</v>
      </c>
    </row>
    <row r="7">
      <c r="A7" s="1" t="s">
        <v>183</v>
      </c>
      <c r="B7" s="2">
        <f>AVERAGE(Registrations!H2:H1000)</f>
        <v>4.4</v>
      </c>
      <c r="E7" s="1" t="s">
        <v>123</v>
      </c>
      <c r="F7" s="2">
        <f>COUNTIF(Registrations!C:C,"E006")</f>
        <v>3</v>
      </c>
    </row>
    <row r="8">
      <c r="A8" s="1" t="s">
        <v>184</v>
      </c>
      <c r="B8" s="2">
        <f>SUM(Registrations!G2:G1000)</f>
        <v>149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</v>
      </c>
      <c r="B1" s="1" t="s">
        <v>16</v>
      </c>
      <c r="C1" s="1" t="s">
        <v>69</v>
      </c>
      <c r="D1" s="1" t="s">
        <v>106</v>
      </c>
      <c r="E1" s="1" t="s">
        <v>107</v>
      </c>
      <c r="F1" s="1" t="s">
        <v>159</v>
      </c>
    </row>
    <row r="2">
      <c r="A2" s="1" t="s">
        <v>23</v>
      </c>
      <c r="B2" s="1" t="s">
        <v>26</v>
      </c>
      <c r="C2" s="1" t="s">
        <v>74</v>
      </c>
      <c r="D2" s="1" t="s">
        <v>126</v>
      </c>
      <c r="E2" s="1" t="s">
        <v>127</v>
      </c>
      <c r="F2" s="1" t="s">
        <v>185</v>
      </c>
    </row>
    <row r="3">
      <c r="A3" s="1" t="s">
        <v>29</v>
      </c>
      <c r="B3" s="1" t="s">
        <v>37</v>
      </c>
      <c r="C3" s="1" t="s">
        <v>79</v>
      </c>
      <c r="D3" s="1" t="s">
        <v>186</v>
      </c>
      <c r="E3" s="1" t="s">
        <v>187</v>
      </c>
    </row>
    <row r="4">
      <c r="A4" s="1" t="s">
        <v>34</v>
      </c>
      <c r="B4" s="1" t="s">
        <v>46</v>
      </c>
      <c r="C4" s="1" t="s">
        <v>188</v>
      </c>
    </row>
    <row r="5">
      <c r="A5" s="1" t="s">
        <v>53</v>
      </c>
      <c r="B5" s="1" t="s">
        <v>50</v>
      </c>
    </row>
    <row r="6">
      <c r="A6" s="1" t="s">
        <v>58</v>
      </c>
      <c r="B6" s="1" t="s">
        <v>55</v>
      </c>
    </row>
  </sheetData>
  <drawing r:id="rId1"/>
</worksheet>
</file>